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latform Audit" sheetId="2" state="visible" r:id="rId2"/>
    <sheet xmlns:r="http://schemas.openxmlformats.org/officeDocument/2006/relationships" name="Flow Steps" sheetId="3" state="visible" r:id="rId3"/>
    <sheet xmlns:r="http://schemas.openxmlformats.org/officeDocument/2006/relationships" name="Friction Log" sheetId="4" state="visible" r:id="rId4"/>
    <sheet xmlns:r="http://schemas.openxmlformats.org/officeDocument/2006/relationships" name="UX Scorecard" sheetId="5" state="visible" r:id="rId5"/>
    <sheet xmlns:r="http://schemas.openxmlformats.org/officeDocument/2006/relationships" name="Summary" sheetId="6" state="visible" r:id="rId6"/>
  </sheets>
  <definedNames>
    <definedName name="_xlnm._FilterDatabase" localSheetId="1" hidden="1">'Platform Audit'!$A$1:$M$17</definedName>
    <definedName name="_xlnm._FilterDatabase" localSheetId="2" hidden="1">'Flow Steps'!$A$1:$L$37</definedName>
    <definedName name="_xlnm._FilterDatabase" localSheetId="3" hidden="1">'Friction Log'!$A$1:$K$31</definedName>
    <definedName name="_xlnm._FilterDatabase" localSheetId="4" hidden="1">'UX Scorecard'!$A$1:$L$17</definedName>
    <definedName name="_xlnm._FilterDatabase" localSheetId="5" hidden="1">'Summary'!$A$1:$G$17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63B5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s.apple.com/in/app/zomato-food-delivery-dining/id434613896" TargetMode="External" Id="rId1"/><Relationship Type="http://schemas.openxmlformats.org/officeDocument/2006/relationships/hyperlink" Target="https://play.google.com/store/apps/details?gl=IN&amp;id=com.application.zomato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32" customHeight="1">
      <c r="A1" s="1" t="inlineStr">
        <is>
          <t>PLATFORM BENCHMARK &amp; USER-FLOW TEARDOWN</t>
        </is>
      </c>
      <c r="B1" s="1" t="n"/>
    </row>
    <row r="2">
      <c r="A2" s="2" t="inlineStr">
        <is>
          <t>Purpose</t>
        </is>
      </c>
      <c r="B2" s="2" t="inlineStr">
        <is>
          <t>Compare the same food-delivery task across apps and web experiences.</t>
        </is>
      </c>
    </row>
    <row r="3">
      <c r="A3" s="2" t="inlineStr">
        <is>
          <t>Initial scope</t>
        </is>
      </c>
      <c r="B3" s="2" t="inlineStr">
        <is>
          <t>India food delivery: Zomato, Swiggy, Domino's, EatSure. Verify access on each platform during the audit.</t>
        </is>
      </c>
    </row>
    <row r="4">
      <c r="A4" s="2" t="inlineStr">
        <is>
          <t>Platforms</t>
        </is>
      </c>
      <c r="B4" s="2" t="inlineStr">
        <is>
          <t>iOS App Store, Google Play, mobile web, desktop web (where available).</t>
        </is>
      </c>
    </row>
    <row r="5">
      <c r="A5" s="2" t="inlineStr">
        <is>
          <t>Task</t>
        </is>
      </c>
      <c r="B5" s="2" t="inlineStr">
        <is>
          <t>Set location → discover restaurant → inspect menu item → add to cart → review fees → reach checkout without ordering.</t>
        </is>
      </c>
    </row>
    <row r="6">
      <c r="A6" s="2" t="inlineStr">
        <is>
          <t>Evidence</t>
        </is>
      </c>
      <c r="B6" s="2" t="inlineStr">
        <is>
          <t>No ratings, feature claims, UX scores, or observations are pre-filled. Record only what you verify, with date and evidence.</t>
        </is>
      </c>
    </row>
    <row r="7">
      <c r="A7" s="2" t="inlineStr">
        <is>
          <t>Scoring</t>
        </is>
      </c>
      <c r="B7" s="2" t="inlineStr">
        <is>
          <t>1–5: 1=poor/difficult, 3=acceptable, 5=excellent. Leave blank or use N/A when not applicable.</t>
        </is>
      </c>
    </row>
    <row r="8">
      <c r="A8" s="2" t="inlineStr">
        <is>
          <t>Workflow</t>
        </is>
      </c>
      <c r="B8" s="2" t="inlineStr">
        <is>
          <t>Fill Platform Audit, Flow Steps, Friction Log, and UX Scorecard. Review Summary after entering scores.</t>
        </is>
      </c>
    </row>
    <row r="9">
      <c r="A9" s="2" t="inlineStr">
        <is>
          <t>Data integrity note</t>
        </is>
      </c>
      <c r="B9" s="2" t="inlineStr">
        <is>
          <t>Only the two Zomato store-listing rows are populated from public India storefront listings (checked 30 Oct 2026). Flow observations, friction, UX scores and other platforms require direct hands-on testing and are intentionally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8" customWidth="1" min="4" max="4"/>
    <col width="21" customWidth="1" min="5" max="5"/>
    <col width="21" customWidth="1" min="6" max="6"/>
    <col width="14" customWidth="1" min="7" max="7"/>
    <col width="20" customWidth="1" min="8" max="8"/>
    <col width="27" customWidth="1" min="9" max="9"/>
    <col width="16" customWidth="1" min="10" max="10"/>
    <col width="20" customWidth="1" min="11" max="11"/>
    <col width="15" customWidth="1" min="12" max="12"/>
    <col width="14" customWidth="1" min="13" max="13"/>
  </cols>
  <sheetData>
    <row r="1" ht="32" customHeight="1">
      <c r="A1" s="1" t="inlineStr">
        <is>
          <t>App</t>
        </is>
      </c>
      <c r="B1" s="1" t="inlineStr">
        <is>
          <t>Platform</t>
        </is>
      </c>
      <c r="C1" s="1" t="inlineStr">
        <is>
          <t>Audit date</t>
        </is>
      </c>
      <c r="D1" s="1" t="inlineStr">
        <is>
          <t>Device / browser</t>
        </is>
      </c>
      <c r="E1" s="1" t="inlineStr">
        <is>
          <t>City / pincode used</t>
        </is>
      </c>
      <c r="F1" s="1" t="inlineStr">
        <is>
          <t>Store listing title</t>
        </is>
      </c>
      <c r="G1" s="1" t="inlineStr">
        <is>
          <t>Rating shown</t>
        </is>
      </c>
      <c r="H1" s="1" t="inlineStr">
        <is>
          <t>Review count shown</t>
        </is>
      </c>
      <c r="I1" s="1" t="inlineStr">
        <is>
          <t>Download band (Play only)</t>
        </is>
      </c>
      <c r="J1" s="1" t="inlineStr">
        <is>
          <t>App size shown</t>
        </is>
      </c>
      <c r="K1" s="1" t="inlineStr">
        <is>
          <t>Last updated shown</t>
        </is>
      </c>
      <c r="L1" s="1" t="inlineStr">
        <is>
          <t>Evidence link</t>
        </is>
      </c>
      <c r="M1" s="1" t="inlineStr">
        <is>
          <t>Notes</t>
        </is>
      </c>
    </row>
    <row r="2">
      <c r="A2" s="2" t="inlineStr">
        <is>
          <t>Zomato</t>
        </is>
      </c>
      <c r="B2" s="2" t="inlineStr">
        <is>
          <t>iOS App Store</t>
        </is>
      </c>
      <c r="C2" s="3" t="n">
        <v>46325</v>
      </c>
      <c r="D2" s="2" t="inlineStr">
        <is>
          <t>Public listing (web)</t>
        </is>
      </c>
      <c r="E2" s="2" t="inlineStr"/>
      <c r="F2" s="2" t="inlineStr">
        <is>
          <t>Zomato: Food Delivery &amp; Dining</t>
        </is>
      </c>
      <c r="G2" s="2" t="inlineStr">
        <is>
          <t>4.7</t>
        </is>
      </c>
      <c r="H2" s="2" t="inlineStr">
        <is>
          <t>6M ratings</t>
        </is>
      </c>
      <c r="I2" s="2" t="inlineStr"/>
      <c r="J2" s="2" t="inlineStr">
        <is>
          <t>277.7 MB</t>
        </is>
      </c>
      <c r="K2" s="2" t="inlineStr">
        <is>
          <t>Not shown on listing</t>
        </is>
      </c>
      <c r="L2" s="4" t="inlineStr">
        <is>
          <t>https://apps.apple.com/in/app/zomato-food-delivery-dining/id434613896</t>
        </is>
      </c>
      <c r="M2" s="2" t="inlineStr">
        <is>
          <t>India storefront; listing snapshot checked 30 Oct 2026. App Store shows 4.7/5, 6M ratings and 277.7 MB. Last-updated date not explicitly shown.</t>
        </is>
      </c>
    </row>
    <row r="3">
      <c r="A3" s="2" t="inlineStr">
        <is>
          <t>Zomato</t>
        </is>
      </c>
      <c r="B3" s="2" t="inlineStr">
        <is>
          <t>Google Play</t>
        </is>
      </c>
      <c r="C3" s="3" t="n">
        <v>46325</v>
      </c>
      <c r="D3" s="2" t="inlineStr">
        <is>
          <t>Public listing (web)</t>
        </is>
      </c>
      <c r="E3" s="2" t="inlineStr"/>
      <c r="F3" s="2" t="inlineStr">
        <is>
          <t>Zomato: Food Delivery &amp; Dining</t>
        </is>
      </c>
      <c r="G3" s="2" t="inlineStr">
        <is>
          <t>4.6</t>
        </is>
      </c>
      <c r="H3" s="2" t="inlineStr">
        <is>
          <t>14.2M reviews</t>
        </is>
      </c>
      <c r="I3" s="2" t="inlineStr">
        <is>
          <t>100M+</t>
        </is>
      </c>
      <c r="J3" s="2" t="inlineStr">
        <is>
          <t>Not shown (varies by device)</t>
        </is>
      </c>
      <c r="K3" s="2" t="inlineStr">
        <is>
          <t>9 Sep 2026</t>
        </is>
      </c>
      <c r="L3" s="4" t="inlineStr">
        <is>
          <t>https://play.google.com/store/apps/details?gl=IN&amp;id=com.application.zomato</t>
        </is>
      </c>
      <c r="M3" s="2" t="inlineStr">
        <is>
          <t>India listing; snapshot checked 30 Oct 2026. Google Play shows 4.6/5, 14.2M reviews, 100M+ downloads and updated 9 Sep 2026.</t>
        </is>
      </c>
    </row>
    <row r="4">
      <c r="A4" s="2" t="inlineStr">
        <is>
          <t>Zomato</t>
        </is>
      </c>
      <c r="B4" s="2" t="inlineStr">
        <is>
          <t>Mobile web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Zomato</t>
        </is>
      </c>
      <c r="B5" s="2" t="inlineStr">
        <is>
          <t>Desktop web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Swiggy</t>
        </is>
      </c>
      <c r="B6" s="2" t="inlineStr">
        <is>
          <t>iOS App Store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Swiggy</t>
        </is>
      </c>
      <c r="B7" s="2" t="inlineStr">
        <is>
          <t>Google Play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Swiggy</t>
        </is>
      </c>
      <c r="B8" s="2" t="inlineStr">
        <is>
          <t>Mobile web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Swiggy</t>
        </is>
      </c>
      <c r="B9" s="2" t="inlineStr">
        <is>
          <t>Desktop web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Domino's</t>
        </is>
      </c>
      <c r="B10" s="2" t="inlineStr">
        <is>
          <t>iOS App Store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Domino's</t>
        </is>
      </c>
      <c r="B11" s="2" t="inlineStr">
        <is>
          <t>Google Play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Domino's</t>
        </is>
      </c>
      <c r="B12" s="2" t="inlineStr">
        <is>
          <t>Mobile web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Domino's</t>
        </is>
      </c>
      <c r="B13" s="2" t="inlineStr">
        <is>
          <t>Desktop web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EatSure</t>
        </is>
      </c>
      <c r="B14" s="2" t="inlineStr">
        <is>
          <t>iOS App Store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EatSure</t>
        </is>
      </c>
      <c r="B15" s="2" t="inlineStr">
        <is>
          <t>Google Play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EatSure</t>
        </is>
      </c>
      <c r="B16" s="2" t="inlineStr">
        <is>
          <t>Mobile web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EatSure</t>
        </is>
      </c>
      <c r="B17" s="2" t="inlineStr">
        <is>
          <t>Desktop web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</row>
  </sheetData>
  <autoFilter ref="A1:M17"/>
  <hyperlinks>
    <hyperlink xmlns:r="http://schemas.openxmlformats.org/officeDocument/2006/relationships" ref="L2" r:id="rId1"/>
    <hyperlink xmlns:r="http://schemas.openxmlformats.org/officeDocument/2006/relationships" ref="L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22" customWidth="1" min="5" max="5"/>
    <col width="21" customWidth="1" min="6" max="6"/>
    <col width="28" customWidth="1" min="7" max="7"/>
    <col width="14" customWidth="1" min="8" max="8"/>
    <col width="21" customWidth="1" min="9" max="9"/>
    <col width="19" customWidth="1" min="10" max="10"/>
    <col width="15" customWidth="1" min="11" max="11"/>
    <col width="16" customWidth="1" min="12" max="12"/>
  </cols>
  <sheetData>
    <row r="1" ht="32" customHeight="1">
      <c r="A1" s="1" t="inlineStr">
        <is>
          <t>App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User goal / action</t>
        </is>
      </c>
      <c r="E1" s="1" t="inlineStr">
        <is>
          <t>What interface shows</t>
        </is>
      </c>
      <c r="F1" s="1" t="inlineStr">
        <is>
          <t>User input required</t>
        </is>
      </c>
      <c r="G1" s="1" t="inlineStr">
        <is>
          <t>System response / feedback</t>
        </is>
      </c>
      <c r="H1" s="1" t="inlineStr">
        <is>
          <t>Time (sec)</t>
        </is>
      </c>
      <c r="I1" s="1" t="inlineStr">
        <is>
          <t>Backtracking? (Y/N)</t>
        </is>
      </c>
      <c r="J1" s="1" t="inlineStr">
        <is>
          <t>Friction observed</t>
        </is>
      </c>
      <c r="K1" s="1" t="inlineStr">
        <is>
          <t>Evidence link</t>
        </is>
      </c>
      <c r="L1" s="1" t="inlineStr">
        <is>
          <t>Severity (1-5)</t>
        </is>
      </c>
    </row>
    <row r="2">
      <c r="A2" s="2" t="inlineStr">
        <is>
          <t>Zomato</t>
        </is>
      </c>
      <c r="B2" s="2" t="inlineStr"/>
      <c r="C2" s="2" t="n">
        <v>1</v>
      </c>
      <c r="D2" s="2" t="inlineStr">
        <is>
          <t>Open app / website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Zomato</t>
        </is>
      </c>
      <c r="B3" s="2" t="inlineStr"/>
      <c r="C3" s="2" t="n">
        <v>2</v>
      </c>
      <c r="D3" s="2" t="inlineStr">
        <is>
          <t>Set delivery location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Zomato</t>
        </is>
      </c>
      <c r="B4" s="2" t="inlineStr"/>
      <c r="C4" s="2" t="n">
        <v>3</v>
      </c>
      <c r="D4" s="2" t="inlineStr">
        <is>
          <t>Search or browse restaurants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Zomato</t>
        </is>
      </c>
      <c r="B5" s="2" t="inlineStr"/>
      <c r="C5" s="2" t="n">
        <v>4</v>
      </c>
      <c r="D5" s="2" t="inlineStr">
        <is>
          <t>Open restaurant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Zomato</t>
        </is>
      </c>
      <c r="B6" s="2" t="inlineStr"/>
      <c r="C6" s="2" t="n">
        <v>5</v>
      </c>
      <c r="D6" s="2" t="inlineStr">
        <is>
          <t>Inspect menu item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Zomato</t>
        </is>
      </c>
      <c r="B7" s="2" t="inlineStr"/>
      <c r="C7" s="2" t="n">
        <v>6</v>
      </c>
      <c r="D7" s="2" t="inlineStr">
        <is>
          <t>Add item to cart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Zomato</t>
        </is>
      </c>
      <c r="B8" s="2" t="inlineStr"/>
      <c r="C8" s="2" t="n">
        <v>7</v>
      </c>
      <c r="D8" s="2" t="inlineStr">
        <is>
          <t>Review cart and customisation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Zomato</t>
        </is>
      </c>
      <c r="B9" s="2" t="inlineStr"/>
      <c r="C9" s="2" t="n">
        <v>8</v>
      </c>
      <c r="D9" s="2" t="inlineStr">
        <is>
          <t>Review taxes, delivery and platform fees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Zomato</t>
        </is>
      </c>
      <c r="B10" s="2" t="inlineStr"/>
      <c r="C10" s="2" t="n">
        <v>9</v>
      </c>
      <c r="D10" s="2" t="inlineStr">
        <is>
          <t>Proceed to checkout (do not place order)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Swiggy</t>
        </is>
      </c>
      <c r="B11" s="2" t="inlineStr"/>
      <c r="C11" s="2" t="n">
        <v>1</v>
      </c>
      <c r="D11" s="2" t="inlineStr">
        <is>
          <t>Open app / website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Swiggy</t>
        </is>
      </c>
      <c r="B12" s="2" t="inlineStr"/>
      <c r="C12" s="2" t="n">
        <v>2</v>
      </c>
      <c r="D12" s="2" t="inlineStr">
        <is>
          <t>Set delivery location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Swiggy</t>
        </is>
      </c>
      <c r="B13" s="2" t="inlineStr"/>
      <c r="C13" s="2" t="n">
        <v>3</v>
      </c>
      <c r="D13" s="2" t="inlineStr">
        <is>
          <t>Search or browse restaurants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Swiggy</t>
        </is>
      </c>
      <c r="B14" s="2" t="inlineStr"/>
      <c r="C14" s="2" t="n">
        <v>4</v>
      </c>
      <c r="D14" s="2" t="inlineStr">
        <is>
          <t>Open restaurant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Swiggy</t>
        </is>
      </c>
      <c r="B15" s="2" t="inlineStr"/>
      <c r="C15" s="2" t="n">
        <v>5</v>
      </c>
      <c r="D15" s="2" t="inlineStr">
        <is>
          <t>Inspect menu item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Swiggy</t>
        </is>
      </c>
      <c r="B16" s="2" t="inlineStr"/>
      <c r="C16" s="2" t="n">
        <v>6</v>
      </c>
      <c r="D16" s="2" t="inlineStr">
        <is>
          <t>Add item to cart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Swiggy</t>
        </is>
      </c>
      <c r="B17" s="2" t="inlineStr"/>
      <c r="C17" s="2" t="n">
        <v>7</v>
      </c>
      <c r="D17" s="2" t="inlineStr">
        <is>
          <t>Review cart and customisation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Swiggy</t>
        </is>
      </c>
      <c r="B18" s="2" t="inlineStr"/>
      <c r="C18" s="2" t="n">
        <v>8</v>
      </c>
      <c r="D18" s="2" t="inlineStr">
        <is>
          <t>Review taxes, delivery and platform fees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Swiggy</t>
        </is>
      </c>
      <c r="B19" s="2" t="inlineStr"/>
      <c r="C19" s="2" t="n">
        <v>9</v>
      </c>
      <c r="D19" s="2" t="inlineStr">
        <is>
          <t>Proceed to checkout (do not place order)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Domino's</t>
        </is>
      </c>
      <c r="B20" s="2" t="inlineStr"/>
      <c r="C20" s="2" t="n">
        <v>1</v>
      </c>
      <c r="D20" s="2" t="inlineStr">
        <is>
          <t>Open app / website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Domino's</t>
        </is>
      </c>
      <c r="B21" s="2" t="inlineStr"/>
      <c r="C21" s="2" t="n">
        <v>2</v>
      </c>
      <c r="D21" s="2" t="inlineStr">
        <is>
          <t>Set delivery location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Domino's</t>
        </is>
      </c>
      <c r="B22" s="2" t="inlineStr"/>
      <c r="C22" s="2" t="n">
        <v>3</v>
      </c>
      <c r="D22" s="2" t="inlineStr">
        <is>
          <t>Search or browse restaurants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Domino's</t>
        </is>
      </c>
      <c r="B23" s="2" t="inlineStr"/>
      <c r="C23" s="2" t="n">
        <v>4</v>
      </c>
      <c r="D23" s="2" t="inlineStr">
        <is>
          <t>Open restaurant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Domino's</t>
        </is>
      </c>
      <c r="B24" s="2" t="inlineStr"/>
      <c r="C24" s="2" t="n">
        <v>5</v>
      </c>
      <c r="D24" s="2" t="inlineStr">
        <is>
          <t>Inspect menu item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Domino's</t>
        </is>
      </c>
      <c r="B25" s="2" t="inlineStr"/>
      <c r="C25" s="2" t="n">
        <v>6</v>
      </c>
      <c r="D25" s="2" t="inlineStr">
        <is>
          <t>Add item to cart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Domino's</t>
        </is>
      </c>
      <c r="B26" s="2" t="inlineStr"/>
      <c r="C26" s="2" t="n">
        <v>7</v>
      </c>
      <c r="D26" s="2" t="inlineStr">
        <is>
          <t>Review cart and customisation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Domino's</t>
        </is>
      </c>
      <c r="B27" s="2" t="inlineStr"/>
      <c r="C27" s="2" t="n">
        <v>8</v>
      </c>
      <c r="D27" s="2" t="inlineStr">
        <is>
          <t>Review taxes, delivery and platform fees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Domino's</t>
        </is>
      </c>
      <c r="B28" s="2" t="inlineStr"/>
      <c r="C28" s="2" t="n">
        <v>9</v>
      </c>
      <c r="D28" s="2" t="inlineStr">
        <is>
          <t>Proceed to checkout (do not place order)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EatSure</t>
        </is>
      </c>
      <c r="B29" s="2" t="inlineStr"/>
      <c r="C29" s="2" t="n">
        <v>1</v>
      </c>
      <c r="D29" s="2" t="inlineStr">
        <is>
          <t>Open app / website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EatSure</t>
        </is>
      </c>
      <c r="B30" s="2" t="inlineStr"/>
      <c r="C30" s="2" t="n">
        <v>2</v>
      </c>
      <c r="D30" s="2" t="inlineStr">
        <is>
          <t>Set delivery location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EatSure</t>
        </is>
      </c>
      <c r="B31" s="2" t="inlineStr"/>
      <c r="C31" s="2" t="n">
        <v>3</v>
      </c>
      <c r="D31" s="2" t="inlineStr">
        <is>
          <t>Search or browse restaurants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EatSure</t>
        </is>
      </c>
      <c r="B32" s="2" t="inlineStr"/>
      <c r="C32" s="2" t="n">
        <v>4</v>
      </c>
      <c r="D32" s="2" t="inlineStr">
        <is>
          <t>Open restaurant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EatSure</t>
        </is>
      </c>
      <c r="B33" s="2" t="inlineStr"/>
      <c r="C33" s="2" t="n">
        <v>5</v>
      </c>
      <c r="D33" s="2" t="inlineStr">
        <is>
          <t>Inspect menu item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EatSure</t>
        </is>
      </c>
      <c r="B34" s="2" t="inlineStr"/>
      <c r="C34" s="2" t="n">
        <v>6</v>
      </c>
      <c r="D34" s="2" t="inlineStr">
        <is>
          <t>Add item to cart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EatSure</t>
        </is>
      </c>
      <c r="B35" s="2" t="inlineStr"/>
      <c r="C35" s="2" t="n">
        <v>7</v>
      </c>
      <c r="D35" s="2" t="inlineStr">
        <is>
          <t>Review cart and customisation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EatSure</t>
        </is>
      </c>
      <c r="B36" s="2" t="inlineStr"/>
      <c r="C36" s="2" t="n">
        <v>8</v>
      </c>
      <c r="D36" s="2" t="inlineStr">
        <is>
          <t>Review taxes, delivery and platform fees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EatSure</t>
        </is>
      </c>
      <c r="B37" s="2" t="inlineStr"/>
      <c r="C37" s="2" t="n">
        <v>9</v>
      </c>
      <c r="D37" s="2" t="inlineStr">
        <is>
          <t>Proceed to checkout (do not place order)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</sheetData>
  <autoFilter ref="A1:L37"/>
  <dataValidations count="1">
    <dataValidation sqref="L2:L37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6" customWidth="1" min="7" max="7"/>
    <col width="14" customWidth="1" min="8" max="8"/>
    <col width="23" customWidth="1" min="9" max="9"/>
    <col width="15" customWidth="1" min="10" max="10"/>
    <col width="14" customWidth="1" min="11" max="11"/>
  </cols>
  <sheetData>
    <row r="1" ht="32" customHeight="1">
      <c r="A1" s="1" t="inlineStr">
        <is>
          <t>ID</t>
        </is>
      </c>
      <c r="B1" s="1" t="inlineStr">
        <is>
          <t>App</t>
        </is>
      </c>
      <c r="C1" s="1" t="inlineStr">
        <is>
          <t>Platform</t>
        </is>
      </c>
      <c r="D1" s="1" t="inlineStr">
        <is>
          <t>Flow step #</t>
        </is>
      </c>
      <c r="E1" s="1" t="inlineStr">
        <is>
          <t>Observed friction</t>
        </is>
      </c>
      <c r="F1" s="1" t="inlineStr">
        <is>
          <t>User impact</t>
        </is>
      </c>
      <c r="G1" s="1" t="inlineStr">
        <is>
          <t>Severity (1-5)</t>
        </is>
      </c>
      <c r="H1" s="1" t="inlineStr">
        <is>
          <t>Frequency</t>
        </is>
      </c>
      <c r="I1" s="1" t="inlineStr">
        <is>
          <t>Suggested improvement</t>
        </is>
      </c>
      <c r="J1" s="1" t="inlineStr">
        <is>
          <t>Evidence link</t>
        </is>
      </c>
      <c r="K1" s="1" t="inlineStr">
        <is>
          <t>Confidence</t>
        </is>
      </c>
    </row>
    <row r="2">
      <c r="A2" s="2" t="inlineStr">
        <is>
          <t>F01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F02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F03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F04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F05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F06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F07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F08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F09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F10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F11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F12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F13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F14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F15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F16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F17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F18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F19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F20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F21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F22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2" t="inlineStr">
        <is>
          <t>F23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inlineStr">
        <is>
          <t>F24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F25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2" t="inlineStr">
        <is>
          <t>F26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F27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F28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F29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F30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</row>
  </sheetData>
  <autoFilter ref="A1:K31"/>
  <dataValidations count="1">
    <dataValidation sqref="G2:G3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3" customWidth="1" min="3" max="3"/>
    <col width="22" customWidth="1" min="4" max="4"/>
    <col width="20" customWidth="1" min="5" max="5"/>
    <col width="25" customWidth="1" min="6" max="6"/>
    <col width="24" customWidth="1" min="7" max="7"/>
    <col width="33" customWidth="1" min="8" max="8"/>
    <col width="21" customWidth="1" min="9" max="9"/>
    <col width="34" customWidth="1" min="10" max="10"/>
    <col width="34" customWidth="1" min="11" max="11"/>
    <col width="22" customWidth="1" min="12" max="12"/>
  </cols>
  <sheetData>
    <row r="1" ht="32" customHeight="1">
      <c r="A1" s="1" t="inlineStr">
        <is>
          <t>App</t>
        </is>
      </c>
      <c r="B1" s="1" t="inlineStr">
        <is>
          <t>Platform</t>
        </is>
      </c>
      <c r="C1" s="1" t="inlineStr">
        <is>
          <t>Discoverability (1-5)</t>
        </is>
      </c>
      <c r="D1" s="1" t="inlineStr">
        <is>
          <t>Search quality (1-5)</t>
        </is>
      </c>
      <c r="E1" s="1" t="inlineStr">
        <is>
          <t>Menu clarity (1-5)</t>
        </is>
      </c>
      <c r="F1" s="1" t="inlineStr">
        <is>
          <t>Cart transparency (1-5)</t>
        </is>
      </c>
      <c r="G1" s="1" t="inlineStr">
        <is>
          <t>Checkout clarity (1-5)</t>
        </is>
      </c>
      <c r="H1" s="1" t="inlineStr">
        <is>
          <t>Feedback &amp; error recovery (1-5)</t>
        </is>
      </c>
      <c r="I1" s="1" t="inlineStr">
        <is>
          <t>Accessibility (1-5)</t>
        </is>
      </c>
      <c r="J1" s="1" t="inlineStr">
        <is>
          <t>Total score</t>
        </is>
      </c>
      <c r="K1" s="1" t="inlineStr">
        <is>
          <t>Average score</t>
        </is>
      </c>
      <c r="L1" s="1" t="inlineStr">
        <is>
          <t>Evidence / rationale</t>
        </is>
      </c>
    </row>
    <row r="2">
      <c r="A2" s="2" t="inlineStr">
        <is>
          <t>Zomato</t>
        </is>
      </c>
      <c r="B2" s="2" t="inlineStr">
        <is>
          <t>iOS App Store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>
        <f>IF(COUNT(C2:I2)=0,"",SUM(C2:I2))</f>
        <v/>
      </c>
      <c r="K2" s="2">
        <f>IF(COUNT(C2:I2)=0,"",AVERAGE(C2:I2))</f>
        <v/>
      </c>
      <c r="L2" s="2" t="inlineStr"/>
    </row>
    <row r="3">
      <c r="A3" s="2" t="inlineStr">
        <is>
          <t>Zomato</t>
        </is>
      </c>
      <c r="B3" s="2" t="inlineStr">
        <is>
          <t>Google Play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>
        <f>IF(COUNT(C3:I3)=0,"",SUM(C3:I3))</f>
        <v/>
      </c>
      <c r="K3" s="2">
        <f>IF(COUNT(C3:I3)=0,"",AVERAGE(C3:I3))</f>
        <v/>
      </c>
      <c r="L3" s="2" t="inlineStr"/>
    </row>
    <row r="4">
      <c r="A4" s="2" t="inlineStr">
        <is>
          <t>Zomato</t>
        </is>
      </c>
      <c r="B4" s="2" t="inlineStr">
        <is>
          <t>Mobile web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>
        <f>IF(COUNT(C4:I4)=0,"",SUM(C4:I4))</f>
        <v/>
      </c>
      <c r="K4" s="2">
        <f>IF(COUNT(C4:I4)=0,"",AVERAGE(C4:I4))</f>
        <v/>
      </c>
      <c r="L4" s="2" t="inlineStr"/>
    </row>
    <row r="5">
      <c r="A5" s="2" t="inlineStr">
        <is>
          <t>Zomato</t>
        </is>
      </c>
      <c r="B5" s="2" t="inlineStr">
        <is>
          <t>Desktop web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>
        <f>IF(COUNT(C5:I5)=0,"",SUM(C5:I5))</f>
        <v/>
      </c>
      <c r="K5" s="2">
        <f>IF(COUNT(C5:I5)=0,"",AVERAGE(C5:I5))</f>
        <v/>
      </c>
      <c r="L5" s="2" t="inlineStr"/>
    </row>
    <row r="6">
      <c r="A6" s="2" t="inlineStr">
        <is>
          <t>Swiggy</t>
        </is>
      </c>
      <c r="B6" s="2" t="inlineStr">
        <is>
          <t>iOS App Store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>
        <f>IF(COUNT(C6:I6)=0,"",SUM(C6:I6))</f>
        <v/>
      </c>
      <c r="K6" s="2">
        <f>IF(COUNT(C6:I6)=0,"",AVERAGE(C6:I6))</f>
        <v/>
      </c>
      <c r="L6" s="2" t="inlineStr"/>
    </row>
    <row r="7">
      <c r="A7" s="2" t="inlineStr">
        <is>
          <t>Swiggy</t>
        </is>
      </c>
      <c r="B7" s="2" t="inlineStr">
        <is>
          <t>Google Play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>
        <f>IF(COUNT(C7:I7)=0,"",SUM(C7:I7))</f>
        <v/>
      </c>
      <c r="K7" s="2">
        <f>IF(COUNT(C7:I7)=0,"",AVERAGE(C7:I7))</f>
        <v/>
      </c>
      <c r="L7" s="2" t="inlineStr"/>
    </row>
    <row r="8">
      <c r="A8" s="2" t="inlineStr">
        <is>
          <t>Swiggy</t>
        </is>
      </c>
      <c r="B8" s="2" t="inlineStr">
        <is>
          <t>Mobile web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>
        <f>IF(COUNT(C8:I8)=0,"",SUM(C8:I8))</f>
        <v/>
      </c>
      <c r="K8" s="2">
        <f>IF(COUNT(C8:I8)=0,"",AVERAGE(C8:I8))</f>
        <v/>
      </c>
      <c r="L8" s="2" t="inlineStr"/>
    </row>
    <row r="9">
      <c r="A9" s="2" t="inlineStr">
        <is>
          <t>Swiggy</t>
        </is>
      </c>
      <c r="B9" s="2" t="inlineStr">
        <is>
          <t>Desktop web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>
        <f>IF(COUNT(C9:I9)=0,"",SUM(C9:I9))</f>
        <v/>
      </c>
      <c r="K9" s="2">
        <f>IF(COUNT(C9:I9)=0,"",AVERAGE(C9:I9))</f>
        <v/>
      </c>
      <c r="L9" s="2" t="inlineStr"/>
    </row>
    <row r="10">
      <c r="A10" s="2" t="inlineStr">
        <is>
          <t>Domino's</t>
        </is>
      </c>
      <c r="B10" s="2" t="inlineStr">
        <is>
          <t>iOS App Store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>
        <f>IF(COUNT(C10:I10)=0,"",SUM(C10:I10))</f>
        <v/>
      </c>
      <c r="K10" s="2">
        <f>IF(COUNT(C10:I10)=0,"",AVERAGE(C10:I10))</f>
        <v/>
      </c>
      <c r="L10" s="2" t="inlineStr"/>
    </row>
    <row r="11">
      <c r="A11" s="2" t="inlineStr">
        <is>
          <t>Domino's</t>
        </is>
      </c>
      <c r="B11" s="2" t="inlineStr">
        <is>
          <t>Google Play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>
        <f>IF(COUNT(C11:I11)=0,"",SUM(C11:I11))</f>
        <v/>
      </c>
      <c r="K11" s="2">
        <f>IF(COUNT(C11:I11)=0,"",AVERAGE(C11:I11))</f>
        <v/>
      </c>
      <c r="L11" s="2" t="inlineStr"/>
    </row>
    <row r="12">
      <c r="A12" s="2" t="inlineStr">
        <is>
          <t>Domino's</t>
        </is>
      </c>
      <c r="B12" s="2" t="inlineStr">
        <is>
          <t>Mobile web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>
        <f>IF(COUNT(C12:I12)=0,"",SUM(C12:I12))</f>
        <v/>
      </c>
      <c r="K12" s="2">
        <f>IF(COUNT(C12:I12)=0,"",AVERAGE(C12:I12))</f>
        <v/>
      </c>
      <c r="L12" s="2" t="inlineStr"/>
    </row>
    <row r="13">
      <c r="A13" s="2" t="inlineStr">
        <is>
          <t>Domino's</t>
        </is>
      </c>
      <c r="B13" s="2" t="inlineStr">
        <is>
          <t>Desktop web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>
        <f>IF(COUNT(C13:I13)=0,"",SUM(C13:I13))</f>
        <v/>
      </c>
      <c r="K13" s="2">
        <f>IF(COUNT(C13:I13)=0,"",AVERAGE(C13:I13))</f>
        <v/>
      </c>
      <c r="L13" s="2" t="inlineStr"/>
    </row>
    <row r="14">
      <c r="A14" s="2" t="inlineStr">
        <is>
          <t>EatSure</t>
        </is>
      </c>
      <c r="B14" s="2" t="inlineStr">
        <is>
          <t>iOS App Store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>
        <f>IF(COUNT(C14:I14)=0,"",SUM(C14:I14))</f>
        <v/>
      </c>
      <c r="K14" s="2">
        <f>IF(COUNT(C14:I14)=0,"",AVERAGE(C14:I14))</f>
        <v/>
      </c>
      <c r="L14" s="2" t="inlineStr"/>
    </row>
    <row r="15">
      <c r="A15" s="2" t="inlineStr">
        <is>
          <t>EatSure</t>
        </is>
      </c>
      <c r="B15" s="2" t="inlineStr">
        <is>
          <t>Google Play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>
        <f>IF(COUNT(C15:I15)=0,"",SUM(C15:I15))</f>
        <v/>
      </c>
      <c r="K15" s="2">
        <f>IF(COUNT(C15:I15)=0,"",AVERAGE(C15:I15))</f>
        <v/>
      </c>
      <c r="L15" s="2" t="inlineStr"/>
    </row>
    <row r="16">
      <c r="A16" s="2" t="inlineStr">
        <is>
          <t>EatSure</t>
        </is>
      </c>
      <c r="B16" s="2" t="inlineStr">
        <is>
          <t>Mobile web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>
        <f>IF(COUNT(C16:I16)=0,"",SUM(C16:I16))</f>
        <v/>
      </c>
      <c r="K16" s="2">
        <f>IF(COUNT(C16:I16)=0,"",AVERAGE(C16:I16))</f>
        <v/>
      </c>
      <c r="L16" s="2" t="inlineStr"/>
    </row>
    <row r="17">
      <c r="A17" s="2" t="inlineStr">
        <is>
          <t>EatSure</t>
        </is>
      </c>
      <c r="B17" s="2" t="inlineStr">
        <is>
          <t>Desktop web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>
        <f>IF(COUNT(C17:I17)=0,"",SUM(C17:I17))</f>
        <v/>
      </c>
      <c r="K17" s="2">
        <f>IF(COUNT(C17:I17)=0,"",AVERAGE(C17:I17))</f>
        <v/>
      </c>
      <c r="L17" s="2" t="inlineStr"/>
    </row>
  </sheetData>
  <autoFilter ref="A1:L17"/>
  <dataValidations count="1">
    <dataValidation sqref="C2:I17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34" customWidth="1" min="4" max="4"/>
    <col width="34" customWidth="1" min="5" max="5"/>
    <col width="14" customWidth="1" min="6" max="6"/>
    <col width="21" customWidth="1" min="7" max="7"/>
  </cols>
  <sheetData>
    <row r="1" ht="32" customHeight="1">
      <c r="A1" s="1" t="inlineStr">
        <is>
          <t>App</t>
        </is>
      </c>
      <c r="B1" s="1" t="inlineStr">
        <is>
          <t>Platform</t>
        </is>
      </c>
      <c r="C1" s="1" t="inlineStr">
        <is>
          <t>Average UX score</t>
        </is>
      </c>
      <c r="D1" s="1" t="inlineStr">
        <is>
          <t>Friction count</t>
        </is>
      </c>
      <c r="E1" s="1" t="inlineStr">
        <is>
          <t>High severity issues (4–5)</t>
        </is>
      </c>
      <c r="F1" s="1" t="inlineStr">
        <is>
          <t>Key strength</t>
        </is>
      </c>
      <c r="G1" s="1" t="inlineStr">
        <is>
          <t>Biggest opportunity</t>
        </is>
      </c>
    </row>
    <row r="2">
      <c r="A2" s="2" t="inlineStr">
        <is>
          <t>Zomato</t>
        </is>
      </c>
      <c r="B2" s="2" t="inlineStr">
        <is>
          <t>iOS App Store</t>
        </is>
      </c>
      <c r="C2" s="2">
        <f>'UX Scorecard'!K2</f>
        <v/>
      </c>
      <c r="D2" s="2">
        <f>COUNTIFS('Friction Log'!B:B,A2,'Friction Log'!C:C,B2)</f>
        <v/>
      </c>
      <c r="E2" s="2">
        <f>COUNTIFS('Friction Log'!B:B,A2,'Friction Log'!C:C,B2,'Friction Log'!G:G,"&gt;=4")</f>
        <v/>
      </c>
      <c r="F2" s="2" t="inlineStr"/>
      <c r="G2" s="2" t="inlineStr"/>
    </row>
    <row r="3">
      <c r="A3" s="2" t="inlineStr">
        <is>
          <t>Zomato</t>
        </is>
      </c>
      <c r="B3" s="2" t="inlineStr">
        <is>
          <t>Google Play</t>
        </is>
      </c>
      <c r="C3" s="2">
        <f>'UX Scorecard'!K3</f>
        <v/>
      </c>
      <c r="D3" s="2">
        <f>COUNTIFS('Friction Log'!B:B,A3,'Friction Log'!C:C,B3)</f>
        <v/>
      </c>
      <c r="E3" s="2">
        <f>COUNTIFS('Friction Log'!B:B,A3,'Friction Log'!C:C,B3,'Friction Log'!G:G,"&gt;=4")</f>
        <v/>
      </c>
      <c r="F3" s="2" t="inlineStr"/>
      <c r="G3" s="2" t="inlineStr"/>
    </row>
    <row r="4">
      <c r="A4" s="2" t="inlineStr">
        <is>
          <t>Zomato</t>
        </is>
      </c>
      <c r="B4" s="2" t="inlineStr">
        <is>
          <t>Mobile web</t>
        </is>
      </c>
      <c r="C4" s="2">
        <f>'UX Scorecard'!K4</f>
        <v/>
      </c>
      <c r="D4" s="2">
        <f>COUNTIFS('Friction Log'!B:B,A4,'Friction Log'!C:C,B4)</f>
        <v/>
      </c>
      <c r="E4" s="2">
        <f>COUNTIFS('Friction Log'!B:B,A4,'Friction Log'!C:C,B4,'Friction Log'!G:G,"&gt;=4")</f>
        <v/>
      </c>
      <c r="F4" s="2" t="inlineStr"/>
      <c r="G4" s="2" t="inlineStr"/>
    </row>
    <row r="5">
      <c r="A5" s="2" t="inlineStr">
        <is>
          <t>Zomato</t>
        </is>
      </c>
      <c r="B5" s="2" t="inlineStr">
        <is>
          <t>Desktop web</t>
        </is>
      </c>
      <c r="C5" s="2">
        <f>'UX Scorecard'!K5</f>
        <v/>
      </c>
      <c r="D5" s="2">
        <f>COUNTIFS('Friction Log'!B:B,A5,'Friction Log'!C:C,B5)</f>
        <v/>
      </c>
      <c r="E5" s="2">
        <f>COUNTIFS('Friction Log'!B:B,A5,'Friction Log'!C:C,B5,'Friction Log'!G:G,"&gt;=4")</f>
        <v/>
      </c>
      <c r="F5" s="2" t="inlineStr"/>
      <c r="G5" s="2" t="inlineStr"/>
    </row>
    <row r="6">
      <c r="A6" s="2" t="inlineStr">
        <is>
          <t>Swiggy</t>
        </is>
      </c>
      <c r="B6" s="2" t="inlineStr">
        <is>
          <t>iOS App Store</t>
        </is>
      </c>
      <c r="C6" s="2">
        <f>'UX Scorecard'!K6</f>
        <v/>
      </c>
      <c r="D6" s="2">
        <f>COUNTIFS('Friction Log'!B:B,A6,'Friction Log'!C:C,B6)</f>
        <v/>
      </c>
      <c r="E6" s="2">
        <f>COUNTIFS('Friction Log'!B:B,A6,'Friction Log'!C:C,B6,'Friction Log'!G:G,"&gt;=4")</f>
        <v/>
      </c>
      <c r="F6" s="2" t="inlineStr"/>
      <c r="G6" s="2" t="inlineStr"/>
    </row>
    <row r="7">
      <c r="A7" s="2" t="inlineStr">
        <is>
          <t>Swiggy</t>
        </is>
      </c>
      <c r="B7" s="2" t="inlineStr">
        <is>
          <t>Google Play</t>
        </is>
      </c>
      <c r="C7" s="2">
        <f>'UX Scorecard'!K7</f>
        <v/>
      </c>
      <c r="D7" s="2">
        <f>COUNTIFS('Friction Log'!B:B,A7,'Friction Log'!C:C,B7)</f>
        <v/>
      </c>
      <c r="E7" s="2">
        <f>COUNTIFS('Friction Log'!B:B,A7,'Friction Log'!C:C,B7,'Friction Log'!G:G,"&gt;=4")</f>
        <v/>
      </c>
      <c r="F7" s="2" t="inlineStr"/>
      <c r="G7" s="2" t="inlineStr"/>
    </row>
    <row r="8">
      <c r="A8" s="2" t="inlineStr">
        <is>
          <t>Swiggy</t>
        </is>
      </c>
      <c r="B8" s="2" t="inlineStr">
        <is>
          <t>Mobile web</t>
        </is>
      </c>
      <c r="C8" s="2">
        <f>'UX Scorecard'!K8</f>
        <v/>
      </c>
      <c r="D8" s="2">
        <f>COUNTIFS('Friction Log'!B:B,A8,'Friction Log'!C:C,B8)</f>
        <v/>
      </c>
      <c r="E8" s="2">
        <f>COUNTIFS('Friction Log'!B:B,A8,'Friction Log'!C:C,B8,'Friction Log'!G:G,"&gt;=4")</f>
        <v/>
      </c>
      <c r="F8" s="2" t="inlineStr"/>
      <c r="G8" s="2" t="inlineStr"/>
    </row>
    <row r="9">
      <c r="A9" s="2" t="inlineStr">
        <is>
          <t>Swiggy</t>
        </is>
      </c>
      <c r="B9" s="2" t="inlineStr">
        <is>
          <t>Desktop web</t>
        </is>
      </c>
      <c r="C9" s="2">
        <f>'UX Scorecard'!K9</f>
        <v/>
      </c>
      <c r="D9" s="2">
        <f>COUNTIFS('Friction Log'!B:B,A9,'Friction Log'!C:C,B9)</f>
        <v/>
      </c>
      <c r="E9" s="2">
        <f>COUNTIFS('Friction Log'!B:B,A9,'Friction Log'!C:C,B9,'Friction Log'!G:G,"&gt;=4")</f>
        <v/>
      </c>
      <c r="F9" s="2" t="inlineStr"/>
      <c r="G9" s="2" t="inlineStr"/>
    </row>
    <row r="10">
      <c r="A10" s="2" t="inlineStr">
        <is>
          <t>Domino's</t>
        </is>
      </c>
      <c r="B10" s="2" t="inlineStr">
        <is>
          <t>iOS App Store</t>
        </is>
      </c>
      <c r="C10" s="2">
        <f>'UX Scorecard'!K10</f>
        <v/>
      </c>
      <c r="D10" s="2">
        <f>COUNTIFS('Friction Log'!B:B,A10,'Friction Log'!C:C,B10)</f>
        <v/>
      </c>
      <c r="E10" s="2">
        <f>COUNTIFS('Friction Log'!B:B,A10,'Friction Log'!C:C,B10,'Friction Log'!G:G,"&gt;=4")</f>
        <v/>
      </c>
      <c r="F10" s="2" t="inlineStr"/>
      <c r="G10" s="2" t="inlineStr"/>
    </row>
    <row r="11">
      <c r="A11" s="2" t="inlineStr">
        <is>
          <t>Domino's</t>
        </is>
      </c>
      <c r="B11" s="2" t="inlineStr">
        <is>
          <t>Google Play</t>
        </is>
      </c>
      <c r="C11" s="2">
        <f>'UX Scorecard'!K11</f>
        <v/>
      </c>
      <c r="D11" s="2">
        <f>COUNTIFS('Friction Log'!B:B,A11,'Friction Log'!C:C,B11)</f>
        <v/>
      </c>
      <c r="E11" s="2">
        <f>COUNTIFS('Friction Log'!B:B,A11,'Friction Log'!C:C,B11,'Friction Log'!G:G,"&gt;=4")</f>
        <v/>
      </c>
      <c r="F11" s="2" t="inlineStr"/>
      <c r="G11" s="2" t="inlineStr"/>
    </row>
    <row r="12">
      <c r="A12" s="2" t="inlineStr">
        <is>
          <t>Domino's</t>
        </is>
      </c>
      <c r="B12" s="2" t="inlineStr">
        <is>
          <t>Mobile web</t>
        </is>
      </c>
      <c r="C12" s="2">
        <f>'UX Scorecard'!K12</f>
        <v/>
      </c>
      <c r="D12" s="2">
        <f>COUNTIFS('Friction Log'!B:B,A12,'Friction Log'!C:C,B12)</f>
        <v/>
      </c>
      <c r="E12" s="2">
        <f>COUNTIFS('Friction Log'!B:B,A12,'Friction Log'!C:C,B12,'Friction Log'!G:G,"&gt;=4")</f>
        <v/>
      </c>
      <c r="F12" s="2" t="inlineStr"/>
      <c r="G12" s="2" t="inlineStr"/>
    </row>
    <row r="13">
      <c r="A13" s="2" t="inlineStr">
        <is>
          <t>Domino's</t>
        </is>
      </c>
      <c r="B13" s="2" t="inlineStr">
        <is>
          <t>Desktop web</t>
        </is>
      </c>
      <c r="C13" s="2">
        <f>'UX Scorecard'!K13</f>
        <v/>
      </c>
      <c r="D13" s="2">
        <f>COUNTIFS('Friction Log'!B:B,A13,'Friction Log'!C:C,B13)</f>
        <v/>
      </c>
      <c r="E13" s="2">
        <f>COUNTIFS('Friction Log'!B:B,A13,'Friction Log'!C:C,B13,'Friction Log'!G:G,"&gt;=4")</f>
        <v/>
      </c>
      <c r="F13" s="2" t="inlineStr"/>
      <c r="G13" s="2" t="inlineStr"/>
    </row>
    <row r="14">
      <c r="A14" s="2" t="inlineStr">
        <is>
          <t>EatSure</t>
        </is>
      </c>
      <c r="B14" s="2" t="inlineStr">
        <is>
          <t>iOS App Store</t>
        </is>
      </c>
      <c r="C14" s="2">
        <f>'UX Scorecard'!K14</f>
        <v/>
      </c>
      <c r="D14" s="2">
        <f>COUNTIFS('Friction Log'!B:B,A14,'Friction Log'!C:C,B14)</f>
        <v/>
      </c>
      <c r="E14" s="2">
        <f>COUNTIFS('Friction Log'!B:B,A14,'Friction Log'!C:C,B14,'Friction Log'!G:G,"&gt;=4")</f>
        <v/>
      </c>
      <c r="F14" s="2" t="inlineStr"/>
      <c r="G14" s="2" t="inlineStr"/>
    </row>
    <row r="15">
      <c r="A15" s="2" t="inlineStr">
        <is>
          <t>EatSure</t>
        </is>
      </c>
      <c r="B15" s="2" t="inlineStr">
        <is>
          <t>Google Play</t>
        </is>
      </c>
      <c r="C15" s="2">
        <f>'UX Scorecard'!K15</f>
        <v/>
      </c>
      <c r="D15" s="2">
        <f>COUNTIFS('Friction Log'!B:B,A15,'Friction Log'!C:C,B15)</f>
        <v/>
      </c>
      <c r="E15" s="2">
        <f>COUNTIFS('Friction Log'!B:B,A15,'Friction Log'!C:C,B15,'Friction Log'!G:G,"&gt;=4")</f>
        <v/>
      </c>
      <c r="F15" s="2" t="inlineStr"/>
      <c r="G15" s="2" t="inlineStr"/>
    </row>
    <row r="16">
      <c r="A16" s="2" t="inlineStr">
        <is>
          <t>EatSure</t>
        </is>
      </c>
      <c r="B16" s="2" t="inlineStr">
        <is>
          <t>Mobile web</t>
        </is>
      </c>
      <c r="C16" s="2">
        <f>'UX Scorecard'!K16</f>
        <v/>
      </c>
      <c r="D16" s="2">
        <f>COUNTIFS('Friction Log'!B:B,A16,'Friction Log'!C:C,B16)</f>
        <v/>
      </c>
      <c r="E16" s="2">
        <f>COUNTIFS('Friction Log'!B:B,A16,'Friction Log'!C:C,B16,'Friction Log'!G:G,"&gt;=4")</f>
        <v/>
      </c>
      <c r="F16" s="2" t="inlineStr"/>
      <c r="G16" s="2" t="inlineStr"/>
    </row>
    <row r="17">
      <c r="A17" s="2" t="inlineStr">
        <is>
          <t>EatSure</t>
        </is>
      </c>
      <c r="B17" s="2" t="inlineStr">
        <is>
          <t>Desktop web</t>
        </is>
      </c>
      <c r="C17" s="2">
        <f>'UX Scorecard'!K17</f>
        <v/>
      </c>
      <c r="D17" s="2">
        <f>COUNTIFS('Friction Log'!B:B,A17,'Friction Log'!C:C,B17)</f>
        <v/>
      </c>
      <c r="E17" s="2">
        <f>COUNTIFS('Friction Log'!B:B,A17,'Friction Log'!C:C,B17,'Friction Log'!G:G,"&gt;=4")</f>
        <v/>
      </c>
      <c r="F17" s="2" t="inlineStr"/>
      <c r="G17" s="2" t="inlineStr"/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2026-10-29T23:04:40Z</dcterms:created>
  <dcterms:modified xmlns:dcterms="http://purl.org/dc/terms/" xmlns:xsi="http://www.w3.org/2001/XMLSchema-instance" xsi:type="dcterms:W3CDTF">2026-10-29T23:10:06Z</dcterms:modified>
</cp:coreProperties>
</file>